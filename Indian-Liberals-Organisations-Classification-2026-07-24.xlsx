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Guide &amp; Labels" sheetId="1" state="visible" r:id="rId1"/>
    <sheet xmlns:r="http://schemas.openxmlformats.org/officeDocument/2006/relationships" name="2. Organisations" sheetId="2" state="visible" r:id="rId2"/>
  </sheets>
  <definedNames>
    <definedName name="TypeLabels">OFFSET('1. Guide &amp; Labels'!$B$21,0,0,COUNTA('1. Guide &amp; Labels'!$B$21:$B$31),1)</definedName>
    <definedName name="StreamLabels">OFFSET('1. Guide &amp; Labels'!$B$34,0,0,COUNTA('1. Guide &amp; Labels'!$B$34:$B$47),1)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1B2A4A"/>
      <sz val="16"/>
    </font>
    <font>
      <name val="Arial"/>
      <color rgb="FF6B6B6B"/>
      <sz val="10"/>
    </font>
    <font>
      <name val="Arial"/>
      <b val="1"/>
      <color rgb="FF1B2A4A"/>
      <sz val="11"/>
    </font>
    <font>
      <name val="Arial"/>
      <color rgb="FF1F2937"/>
      <sz val="10"/>
    </font>
    <font>
      <name val="Arial"/>
      <b val="1"/>
      <color rgb="FF1B2A4A"/>
      <sz val="10"/>
    </font>
    <font>
      <name val="Arial"/>
      <i val="1"/>
      <color rgb="FF6B6B6B"/>
      <sz val="9"/>
    </font>
    <font>
      <name val="Arial"/>
      <b val="1"/>
      <color rgb="FFFFFFFF"/>
      <sz val="9"/>
    </font>
    <font>
      <name val="Arial"/>
      <b val="1"/>
      <color rgb="FF6B3FA0"/>
      <sz val="10"/>
    </font>
    <font>
      <name val="Arial"/>
      <color rgb="FF1F2937"/>
      <sz val="9"/>
    </font>
    <font>
      <name val="Arial"/>
      <b val="1"/>
      <color rgb="FF1D4E89"/>
      <sz val="10"/>
    </font>
    <font>
      <name val="Arial"/>
      <b val="1"/>
      <color rgb="FFB25A18"/>
      <sz val="10"/>
    </font>
    <font>
      <name val="Arial"/>
      <b val="1"/>
      <color rgb="FF1E7A50"/>
      <sz val="10"/>
    </font>
    <font>
      <name val="Arial"/>
      <b val="1"/>
      <color rgb="FF444444"/>
      <sz val="10"/>
    </font>
    <font>
      <name val="Arial"/>
      <b val="1"/>
      <color rgb="FFA8324A"/>
      <sz val="10"/>
    </font>
    <font>
      <name val="Arial"/>
      <b val="1"/>
      <color rgb="FF8A6D00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6B6B6B"/>
      <sz val="9"/>
    </font>
  </fonts>
  <fills count="10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E9D9F9"/>
      </patternFill>
    </fill>
    <fill>
      <patternFill patternType="solid">
        <fgColor rgb="FFDCE9F9"/>
      </patternFill>
    </fill>
    <fill>
      <patternFill patternType="solid">
        <fgColor rgb="FFFCE7D2"/>
      </patternFill>
    </fill>
    <fill>
      <patternFill patternType="solid">
        <fgColor rgb="FFD9F2E4"/>
      </patternFill>
    </fill>
    <fill>
      <patternFill patternType="solid">
        <fgColor rgb="FFE6E6E6"/>
      </patternFill>
    </fill>
    <fill>
      <patternFill patternType="solid">
        <fgColor rgb="FFFBE9EC"/>
      </patternFill>
    </fill>
    <fill>
      <patternFill patternType="solid">
        <fgColor rgb="FFFFF3C4"/>
      </patternFill>
    </fill>
  </fills>
  <borders count="3">
    <border>
      <left/>
      <right/>
      <top/>
      <bottom/>
      <diagonal/>
    </border>
    <border>
      <bottom style="thin">
        <color rgb="FFD8D8D8"/>
      </bottom>
    </border>
    <border>
      <bottom style="medium">
        <color rgb="FF1F293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6" fillId="2" borderId="2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2937"/>
    <outlinePr summaryBelow="1" summaryRight="1"/>
    <pageSetUpPr/>
  </sheetPr>
  <dimension ref="B1:D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100" customWidth="1" min="3" max="3"/>
    <col width="18" customWidth="1" min="4" max="4"/>
  </cols>
  <sheetData>
    <row r="1">
      <c r="B1" s="1" t="inlineStr">
        <is>
          <t>Indian Liberals — Organisation Classification</t>
        </is>
      </c>
    </row>
    <row r="2">
      <c r="B2" s="2" t="inlineStr">
        <is>
          <t>Every organisation on indianliberals.in with its current classification. Snapshot of 24 July 2026, prepared by Adnan.</t>
        </is>
      </c>
    </row>
    <row r="4">
      <c r="B4" s="3" t="inlineStr">
        <is>
          <t>AT A GLANCE</t>
        </is>
      </c>
    </row>
    <row r="5">
      <c r="B5" s="4" t="inlineStr">
        <is>
          <t>Organisations in this file</t>
        </is>
      </c>
      <c r="C5" s="5">
        <f>COUNTA('2. Organisations'!$A$2:$A$5000)</f>
        <v/>
      </c>
    </row>
    <row r="6">
      <c r="B6" s="4" t="inlineStr">
        <is>
          <t>Shown on the /organisations/ page</t>
        </is>
      </c>
      <c r="C6" s="5">
        <f>COUNTIF('2. Organisations'!$G:$G,"Yes")</f>
        <v/>
      </c>
    </row>
    <row r="7">
      <c r="B7" s="4" t="inlineStr">
        <is>
          <t>Still flagged for review (Notes empty)</t>
        </is>
      </c>
      <c r="C7" s="5">
        <f>COUNTA('2. Organisations'!$A$2:$A$5000)-COUNTA('2. Organisations'!$H$2:$H$5000)</f>
        <v/>
      </c>
    </row>
    <row r="9">
      <c r="B9" s="3" t="inlineStr">
        <is>
          <t>HOW TO USE</t>
        </is>
      </c>
    </row>
    <row r="10">
      <c r="B10" s="6" t="inlineStr">
        <is>
          <t>•  All classification happens on the '2. Organisations' tab — one row per organisation, nobody left out.</t>
        </is>
      </c>
    </row>
    <row r="11">
      <c r="B11" s="6" t="inlineStr">
        <is>
          <t>•  Work with the dropdowns: Type is the main classification; the two Stream columns are optional tags for the liberal current(s) an organisation belongs to.</t>
        </is>
      </c>
    </row>
    <row r="12">
      <c r="B12" s="6" t="inlineStr">
        <is>
          <t>•  The dropdown options come from the label tables below. Type a new label into an empty slot (top-down, no gaps) and it appears in the dropdowns immediately.</t>
        </is>
      </c>
    </row>
    <row r="13">
      <c r="B13" s="6" t="inlineStr">
        <is>
          <t>•  'On organisations page?' controls the public /organisations/ index. Set Yes to list it, No to keep the record but hide it from the index. Nothing is ever deleted from the site.</t>
        </is>
      </c>
    </row>
    <row r="14">
      <c r="B14" s="6" t="inlineStr">
        <is>
          <t>•  Please read and correct the Description — these were AI-drafted and need an editorial eye.</t>
        </is>
      </c>
    </row>
    <row r="15">
      <c r="B15" s="6" t="inlineStr">
        <is>
          <t>•  Missing an organisation? Add a row at the bottom — name plus type is enough. Leave the ID column blank; we generate those.</t>
        </is>
      </c>
    </row>
    <row r="16">
      <c r="B16" s="6" t="inlineStr">
        <is>
          <t>•  Anything the dropdowns can't express (dates, spellings, mergers, disagreements) goes in 'Notes / corrections'.</t>
        </is>
      </c>
    </row>
    <row r="17">
      <c r="B17" s="6" t="inlineStr">
        <is>
          <t>•  Sorting and filtering are safe — every row carries its ID in the last column. Just don't edit or clear the ID column itself.</t>
        </is>
      </c>
    </row>
    <row r="18">
      <c r="B18" s="6" t="inlineStr">
        <is>
          <t>•  Colours are decorative. New labels you add won't be coloured — that's fine.</t>
        </is>
      </c>
    </row>
    <row r="19">
      <c r="B19" s="3" t="inlineStr">
        <is>
          <t>TYPE</t>
        </is>
      </c>
      <c r="C19" s="7" t="inlineStr">
        <is>
          <t>the main classification — feeds the Type dropdown on the Organisations sheet</t>
        </is>
      </c>
    </row>
    <row r="20">
      <c r="B20" s="8" t="inlineStr">
        <is>
          <t>Label</t>
        </is>
      </c>
      <c r="C20" s="8" t="inlineStr">
        <is>
          <t>What it means</t>
        </is>
      </c>
      <c r="D20" s="8" t="inlineStr">
        <is>
          <t>Orgs right now</t>
        </is>
      </c>
    </row>
    <row r="21">
      <c r="B21" s="9" t="inlineStr">
        <is>
          <t>Political Party</t>
        </is>
      </c>
      <c r="C21" s="10" t="inlineStr">
        <is>
          <t>A party that contested elections within the liberal / constitutional tradition.</t>
        </is>
      </c>
      <c r="D21" s="11">
        <f>IF($B21="","",COUNTIF('2. Organisations'!$C:$C,$B21))</f>
        <v/>
      </c>
    </row>
    <row r="22">
      <c r="B22" s="12" t="inlineStr">
        <is>
          <t>Think Tank</t>
        </is>
      </c>
      <c r="C22" s="10" t="inlineStr">
        <is>
          <t>Policy research and advocacy institutes advancing liberal ideas.</t>
        </is>
      </c>
      <c r="D22" s="11">
        <f>IF($B22="","",COUNTIF('2. Organisations'!$C:$C,$B22))</f>
        <v/>
      </c>
    </row>
    <row r="23">
      <c r="B23" s="13" t="inlineStr">
        <is>
          <t>Publisher / Press</t>
        </is>
      </c>
      <c r="C23" s="10" t="inlineStr">
        <is>
          <t>Publishing houses, trusts and presses that carried liberal writing.</t>
        </is>
      </c>
      <c r="D23" s="11">
        <f>IF($B23="","",COUNTIF('2. Organisations'!$C:$C,$B23))</f>
        <v/>
      </c>
    </row>
    <row r="24">
      <c r="B24" s="14" t="inlineStr">
        <is>
          <t>Reform Society</t>
        </is>
      </c>
      <c r="C24" s="10" t="inlineStr">
        <is>
          <t>Nineteenth / early-twentieth-century social-reform associations.</t>
        </is>
      </c>
      <c r="D24" s="11">
        <f>IF($B24="","",COUNTIF('2. Organisations'!$C:$C,$B24))</f>
        <v/>
      </c>
    </row>
    <row r="25">
      <c r="B25" s="15" t="inlineStr">
        <is>
          <t>Professional Body</t>
        </is>
      </c>
      <c r="C25" s="10" t="inlineStr">
        <is>
          <t>Chambers, editors' conferences, trade and professional associations.</t>
        </is>
      </c>
      <c r="D25" s="11">
        <f>IF($B25="","",COUNTIF('2. Organisations'!$C:$C,$B25))</f>
        <v/>
      </c>
    </row>
    <row r="26">
      <c r="B26" s="16" t="inlineStr">
        <is>
          <t>Academic Institution</t>
        </is>
      </c>
      <c r="C26" s="10" t="inlineStr">
        <is>
          <t>Colleges, institutes and learned societies in the archive.</t>
        </is>
      </c>
      <c r="D26" s="11">
        <f>IF($B26="","",COUNTIF('2. Organisations'!$C:$C,$B26))</f>
        <v/>
      </c>
    </row>
    <row r="27">
      <c r="B27" s="17" t="inlineStr">
        <is>
          <t>International Network</t>
        </is>
      </c>
      <c r="C27" s="10" t="inlineStr">
        <is>
          <t>Global liberal / free-market networks India connected to.</t>
        </is>
      </c>
      <c r="D27" s="11">
        <f>IF($B27="","",COUNTIF('2. Organisations'!$C:$C,$B27))</f>
        <v/>
      </c>
    </row>
    <row r="28">
      <c r="C28" s="7" t="inlineStr">
        <is>
          <t>← add new types here — fill top-down, no gaps; they appear in the dropdown automatically</t>
        </is>
      </c>
      <c r="D28" s="18">
        <f>IF($B28="","",COUNTIF('2. Organisations'!$C:$C,$B28))</f>
        <v/>
      </c>
    </row>
    <row r="29">
      <c r="D29" s="18">
        <f>IF($B29="","",COUNTIF('2. Organisations'!$C:$C,$B29))</f>
        <v/>
      </c>
    </row>
    <row r="30">
      <c r="D30" s="18">
        <f>IF($B30="","",COUNTIF('2. Organisations'!$C:$C,$B30))</f>
        <v/>
      </c>
    </row>
    <row r="31">
      <c r="D31" s="18">
        <f>IF($B31="","",COUNTIF('2. Organisations'!$C:$C,$B31))</f>
        <v/>
      </c>
    </row>
    <row r="32">
      <c r="B32" s="3" t="inlineStr">
        <is>
          <t>LIBERAL STREAM</t>
        </is>
      </c>
      <c r="C32" s="7" t="inlineStr">
        <is>
          <t>optional tags — feed the Stream 1 &amp; Stream 2 dropdowns</t>
        </is>
      </c>
    </row>
    <row r="33">
      <c r="B33" s="8" t="inlineStr">
        <is>
          <t>Label</t>
        </is>
      </c>
      <c r="C33" s="8" t="inlineStr">
        <is>
          <t>What it means</t>
        </is>
      </c>
      <c r="D33" s="8" t="inlineStr">
        <is>
          <t>Orgs right now</t>
        </is>
      </c>
    </row>
    <row r="34">
      <c r="B34" s="12" t="inlineStr">
        <is>
          <t>Classical Liberal</t>
        </is>
      </c>
      <c r="C34" s="10" t="inlineStr">
        <is>
          <t>Individual liberty, free markets, limited government.</t>
        </is>
      </c>
      <c r="D34" s="11">
        <f>IF($B34="","",COUNTIF('2. Organisations'!$D:$E,$B34))</f>
        <v/>
      </c>
    </row>
    <row r="35">
      <c r="B35" s="12" t="inlineStr">
        <is>
          <t>Libertarian</t>
        </is>
      </c>
      <c r="C35" s="10" t="inlineStr">
        <is>
          <t>The explicitly libertarian stream.</t>
        </is>
      </c>
      <c r="D35" s="11">
        <f>IF($B35="","",COUNTIF('2. Organisations'!$D:$E,$B35))</f>
        <v/>
      </c>
    </row>
    <row r="36">
      <c r="B36" s="12" t="inlineStr">
        <is>
          <t>Free Enterprise</t>
        </is>
      </c>
      <c r="C36" s="10" t="inlineStr">
        <is>
          <t>Pro-market, pro-business enterprise advocacy.</t>
        </is>
      </c>
      <c r="D36" s="11">
        <f>IF($B36="","",COUNTIF('2. Organisations'!$D:$E,$B36))</f>
        <v/>
      </c>
    </row>
    <row r="37">
      <c r="B37" s="12" t="inlineStr">
        <is>
          <t>Constitutionalist</t>
        </is>
      </c>
      <c r="C37" s="10" t="inlineStr">
        <is>
          <t>Rule of law and liberal constitutional order.</t>
        </is>
      </c>
      <c r="D37" s="11">
        <f>IF($B37="","",COUNTIF('2. Organisations'!$D:$E,$B37))</f>
        <v/>
      </c>
    </row>
    <row r="38">
      <c r="B38" s="12" t="inlineStr">
        <is>
          <t>Civil Libertarian</t>
        </is>
      </c>
      <c r="C38" s="10" t="inlineStr">
        <is>
          <t>Civil liberties and individual rights against the state.</t>
        </is>
      </c>
      <c r="D38" s="11">
        <f>IF($B38="","",COUNTIF('2. Organisations'!$D:$E,$B38))</f>
        <v/>
      </c>
    </row>
    <row r="39">
      <c r="B39" s="12" t="inlineStr">
        <is>
          <t>Individual Rights</t>
        </is>
      </c>
      <c r="C39" s="10" t="inlineStr">
        <is>
          <t>Rights of the individual as the organising principle.</t>
        </is>
      </c>
      <c r="D39" s="11">
        <f>IF($B39="","",COUNTIF('2. Organisations'!$D:$E,$B39))</f>
        <v/>
      </c>
    </row>
    <row r="40">
      <c r="B40" s="12" t="inlineStr">
        <is>
          <t>Reformist</t>
        </is>
      </c>
      <c r="C40" s="10" t="inlineStr">
        <is>
          <t>Social-reform orientation (caste, education, custom).</t>
        </is>
      </c>
      <c r="D40" s="11">
        <f>IF($B40="","",COUNTIF('2. Organisations'!$D:$E,$B40))</f>
        <v/>
      </c>
    </row>
    <row r="41">
      <c r="B41" s="12" t="inlineStr">
        <is>
          <t>Humanist</t>
        </is>
      </c>
      <c r="C41" s="10" t="inlineStr">
        <is>
          <t>Rationalist / humanist current.</t>
        </is>
      </c>
      <c r="D41" s="11">
        <f>IF($B41="","",COUNTIF('2. Organisations'!$D:$E,$B41))</f>
        <v/>
      </c>
    </row>
    <row r="42">
      <c r="B42" s="12" t="inlineStr">
        <is>
          <t>Agrarian Reform</t>
        </is>
      </c>
      <c r="C42" s="10" t="inlineStr">
        <is>
          <t>Farmer / land / agrarian liberalisation.</t>
        </is>
      </c>
      <c r="D42" s="11">
        <f>IF($B42="","",COUNTIF('2. Organisations'!$D:$E,$B42))</f>
        <v/>
      </c>
    </row>
    <row r="43">
      <c r="C43" s="7" t="inlineStr">
        <is>
          <t>← add new streams here if you need them</t>
        </is>
      </c>
      <c r="D43" s="18">
        <f>IF($B43="","",COUNTIF('2. Organisations'!$D:$E,$B43))</f>
        <v/>
      </c>
    </row>
    <row r="44">
      <c r="D44" s="18">
        <f>IF($B44="","",COUNTIF('2. Organisations'!$D:$E,$B44))</f>
        <v/>
      </c>
    </row>
    <row r="45">
      <c r="D45" s="18">
        <f>IF($B45="","",COUNTIF('2. Organisations'!$D:$E,$B45))</f>
        <v/>
      </c>
    </row>
    <row r="46">
      <c r="D46" s="18">
        <f>IF($B46="","",COUNTIF('2. Organisations'!$D:$E,$B46))</f>
        <v/>
      </c>
    </row>
    <row r="47">
      <c r="D47" s="18">
        <f>IF($B47="","",COUNTIF('2. Organisations'!$D:$E,$B47))</f>
        <v/>
      </c>
    </row>
    <row r="48">
      <c r="B48" s="3" t="inlineStr">
        <is>
          <t>ON ORGANISATIONS PAGE?</t>
        </is>
      </c>
      <c r="C48" s="7" t="inlineStr">
        <is>
          <t>the public index at /organisations/ — hidden records still keep their detail page</t>
        </is>
      </c>
    </row>
    <row r="49">
      <c r="B49" s="8" t="inlineStr">
        <is>
          <t>Label</t>
        </is>
      </c>
      <c r="C49" s="8" t="inlineStr">
        <is>
          <t>What it means</t>
        </is>
      </c>
      <c r="D49" s="8" t="inlineStr">
        <is>
          <t>Orgs right now</t>
        </is>
      </c>
    </row>
    <row r="50">
      <c r="B50" s="14" t="inlineStr">
        <is>
          <t>Yes</t>
        </is>
      </c>
      <c r="C50" s="10" t="inlineStr">
        <is>
          <t>Listed on the public /organisations/ index.</t>
        </is>
      </c>
      <c r="D50" s="11">
        <f>COUNTIF('2. Organisations'!$G:$G,"Yes")</f>
        <v/>
      </c>
    </row>
    <row r="51">
      <c r="B51" s="16" t="inlineStr">
        <is>
          <t>No</t>
        </is>
      </c>
      <c r="C51" s="10" t="inlineStr">
        <is>
          <t>Record kept and linkable, but hidden from the index (e.g. context bodies like the INC).</t>
        </is>
      </c>
      <c r="D51" s="11">
        <f>COUNTIF('2. Organisations'!$G:$G,"No")</f>
        <v/>
      </c>
    </row>
  </sheetData>
  <mergeCells count="9">
    <mergeCell ref="B10:D10"/>
    <mergeCell ref="B11:D11"/>
    <mergeCell ref="B14:D14"/>
    <mergeCell ref="B15:D15"/>
    <mergeCell ref="B17:D17"/>
    <mergeCell ref="B18:D18"/>
    <mergeCell ref="B13:D13"/>
    <mergeCell ref="B12:D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F7D5D"/>
    <outlinePr summaryBelow="1" summaryRight="1"/>
    <pageSetUpPr/>
  </sheetPr>
  <dimension ref="A1:K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20" customWidth="1" min="3" max="3"/>
    <col width="18" customWidth="1" min="4" max="4"/>
    <col width="18" customWidth="1" min="5" max="5"/>
    <col width="60" customWidth="1" min="6" max="6"/>
    <col width="18" customWidth="1" min="7" max="7"/>
    <col width="40" customWidth="1" min="8" max="8"/>
    <col width="26" customWidth="1" min="9" max="9"/>
    <col width="10" customWidth="1" min="10" max="10"/>
    <col width="30" customWidth="1" min="11" max="11"/>
  </cols>
  <sheetData>
    <row r="1" ht="31.5" customHeight="1">
      <c r="A1" s="19" t="inlineStr">
        <is>
          <t>Organisation</t>
        </is>
      </c>
      <c r="B1" s="19" t="inlineStr">
        <is>
          <t>Lifespan</t>
        </is>
      </c>
      <c r="C1" s="19" t="inlineStr">
        <is>
          <t>Type</t>
        </is>
      </c>
      <c r="D1" s="19" t="inlineStr">
        <is>
          <t>Stream 1</t>
        </is>
      </c>
      <c r="E1" s="19" t="inlineStr">
        <is>
          <t>Stream 2 (optional)</t>
        </is>
      </c>
      <c r="F1" s="19" t="inlineStr">
        <is>
          <t>Description (please correct)</t>
        </is>
      </c>
      <c r="G1" s="19" t="inlineStr">
        <is>
          <t>On organisations page?</t>
        </is>
      </c>
      <c r="H1" s="19" t="inlineStr">
        <is>
          <t>Notes / corrections</t>
        </is>
      </c>
      <c r="I1" s="19" t="inlineStr">
        <is>
          <t>Also known as</t>
        </is>
      </c>
      <c r="J1" s="19" t="inlineStr">
        <is>
          <t>Has logo</t>
        </is>
      </c>
      <c r="K1" s="19" t="inlineStr">
        <is>
          <t>ID (don't edit)</t>
        </is>
      </c>
    </row>
    <row r="2">
      <c r="A2" s="20" t="inlineStr">
        <is>
          <t>A. D. Shroff Memorial Trust</t>
        </is>
      </c>
      <c r="B2" s="21" t="n"/>
      <c r="C2" s="22" t="inlineStr">
        <is>
          <t>Publisher / Press</t>
        </is>
      </c>
      <c r="D2" s="22" t="n"/>
      <c r="E2" s="22" t="n"/>
      <c r="F2" s="23" t="inlineStr">
        <is>
          <t>Mumbai trust that publishes lectures and pamphlets honouring A. D. Shroff, co-founder of the Forum of Free Enterprise.</t>
        </is>
      </c>
      <c r="G2" s="22" t="inlineStr">
        <is>
          <t>Yes</t>
        </is>
      </c>
      <c r="H2" s="22" t="n"/>
      <c r="I2" s="22" t="inlineStr"/>
      <c r="J2" s="21" t="inlineStr">
        <is>
          <t>No</t>
        </is>
      </c>
      <c r="K2" s="24" t="inlineStr">
        <is>
          <t>a-d-shroff-memorial-trust</t>
        </is>
      </c>
    </row>
    <row r="3">
      <c r="A3" s="20" t="inlineStr">
        <is>
          <t>Academic Association (Derozio)</t>
        </is>
      </c>
      <c r="B3" s="21" t="inlineStr">
        <is>
          <t>1828–1831</t>
        </is>
      </c>
      <c r="C3" s="22" t="inlineStr">
        <is>
          <t>Academic Institution</t>
        </is>
      </c>
      <c r="D3" s="22" t="inlineStr">
        <is>
          <t>Reformist</t>
        </is>
      </c>
      <c r="E3" s="22" t="n"/>
      <c r="F3" s="23" t="inlineStr">
        <is>
          <t>The Calcutta student debating society founded by Henry Derozio at Hindu College — seedbed of the Young Bengal movement and of early Indian free thought.</t>
        </is>
      </c>
      <c r="G3" s="22" t="inlineStr">
        <is>
          <t>Yes</t>
        </is>
      </c>
      <c r="H3" s="22" t="n"/>
      <c r="I3" s="22" t="inlineStr"/>
      <c r="J3" s="21" t="inlineStr">
        <is>
          <t>No</t>
        </is>
      </c>
      <c r="K3" s="24" t="inlineStr">
        <is>
          <t>academic-association-derozio</t>
        </is>
      </c>
    </row>
    <row r="4">
      <c r="A4" s="20" t="inlineStr">
        <is>
          <t>All-India Liberal Federation</t>
        </is>
      </c>
      <c r="B4" s="21" t="n"/>
      <c r="C4" s="22" t="inlineStr">
        <is>
          <t>Political Party</t>
        </is>
      </c>
      <c r="D4" s="22" t="inlineStr">
        <is>
          <t>Classical Liberal</t>
        </is>
      </c>
      <c r="E4" s="22" t="n"/>
      <c r="F4" s="23" t="inlineStr">
        <is>
          <t>The organised home of India's moderate liberals after their 1918 parting with Congress, carrying the Gokhale tradition into the era of legislatures and dyarchy.</t>
        </is>
      </c>
      <c r="G4" s="22" t="inlineStr">
        <is>
          <t>No</t>
        </is>
      </c>
      <c r="H4" s="22" t="n"/>
      <c r="I4" s="22" t="inlineStr"/>
      <c r="J4" s="21" t="inlineStr">
        <is>
          <t>No</t>
        </is>
      </c>
      <c r="K4" s="24" t="inlineStr">
        <is>
          <t>all-india-liberal-federation</t>
        </is>
      </c>
    </row>
    <row r="5">
      <c r="A5" s="20" t="inlineStr">
        <is>
          <t>All-India Newspaper Editors Conference</t>
        </is>
      </c>
      <c r="B5" s="21" t="inlineStr">
        <is>
          <t>founded 1940</t>
        </is>
      </c>
      <c r="C5" s="22" t="inlineStr">
        <is>
          <t>Professional Body</t>
        </is>
      </c>
      <c r="D5" s="22" t="n"/>
      <c r="E5" s="22" t="n"/>
      <c r="F5" s="23" t="inlineStr">
        <is>
          <t>Representative body of Indian newspaper editors, founded in 1940 to defend press freedom and editorial independence.</t>
        </is>
      </c>
      <c r="G5" s="22" t="inlineStr">
        <is>
          <t>Yes</t>
        </is>
      </c>
      <c r="H5" s="22" t="n"/>
      <c r="I5" s="22" t="inlineStr"/>
      <c r="J5" s="21" t="inlineStr">
        <is>
          <t>No</t>
        </is>
      </c>
      <c r="K5" s="24" t="inlineStr">
        <is>
          <t>all-india-newspaper-editors-conference</t>
        </is>
      </c>
    </row>
    <row r="6">
      <c r="A6" s="20" t="inlineStr">
        <is>
          <t>All-India Sarafa Association</t>
        </is>
      </c>
      <c r="B6" s="21" t="n"/>
      <c r="C6" s="22" t="inlineStr">
        <is>
          <t>Professional Body</t>
        </is>
      </c>
      <c r="D6" s="22" t="n"/>
      <c r="E6" s="22" t="n"/>
      <c r="F6" s="23" t="inlineStr">
        <is>
          <t>Trade association of India's bullion and silver merchants, a vocal critic of the gold-control orders of the 1960s.</t>
        </is>
      </c>
      <c r="G6" s="22" t="inlineStr">
        <is>
          <t>Yes</t>
        </is>
      </c>
      <c r="H6" s="22" t="n"/>
      <c r="I6" s="22" t="inlineStr"/>
      <c r="J6" s="21" t="inlineStr">
        <is>
          <t>No</t>
        </is>
      </c>
      <c r="K6" s="24" t="inlineStr">
        <is>
          <t>all-india-sarafa-association</t>
        </is>
      </c>
    </row>
    <row r="7">
      <c r="A7" s="20" t="inlineStr">
        <is>
          <t>Atlas Network</t>
        </is>
      </c>
      <c r="B7" s="21" t="n"/>
      <c r="C7" s="22" t="inlineStr">
        <is>
          <t>International Network</t>
        </is>
      </c>
      <c r="D7" s="22" t="inlineStr">
        <is>
          <t>Classical Liberal</t>
        </is>
      </c>
      <c r="E7" s="22" t="n"/>
      <c r="F7" s="23" t="inlineStr">
        <is>
          <t>US-based network that incubates and connects free-market think tanks worldwide, including several Indian institutes.</t>
        </is>
      </c>
      <c r="G7" s="22" t="inlineStr">
        <is>
          <t>Yes</t>
        </is>
      </c>
      <c r="H7" s="22" t="n"/>
      <c r="I7" s="22" t="inlineStr"/>
      <c r="J7" s="21" t="inlineStr">
        <is>
          <t>Yes</t>
        </is>
      </c>
      <c r="K7" s="24" t="inlineStr">
        <is>
          <t>atlas-network</t>
        </is>
      </c>
    </row>
    <row r="8">
      <c r="A8" s="20" t="inlineStr">
        <is>
          <t>Bharathan Publications</t>
        </is>
      </c>
      <c r="B8" s="21" t="n"/>
      <c r="C8" s="22" t="inlineStr">
        <is>
          <t>Publisher / Press</t>
        </is>
      </c>
      <c r="D8" s="22" t="inlineStr">
        <is>
          <t>Classical Liberal</t>
        </is>
      </c>
      <c r="E8" s="22" t="n"/>
      <c r="F8" s="23" t="inlineStr">
        <is>
          <t>Madras publishing house associated with Swatantra-era liberal writing, including works of C. Rajagopalachari's circle.</t>
        </is>
      </c>
      <c r="G8" s="22" t="inlineStr">
        <is>
          <t>Yes</t>
        </is>
      </c>
      <c r="H8" s="22" t="n"/>
      <c r="I8" s="22" t="inlineStr"/>
      <c r="J8" s="21" t="inlineStr">
        <is>
          <t>No</t>
        </is>
      </c>
      <c r="K8" s="24" t="inlineStr">
        <is>
          <t>bharathan-publications</t>
        </is>
      </c>
    </row>
    <row r="9">
      <c r="A9" s="20" t="inlineStr">
        <is>
          <t>Bharatiya Vidya Bhavan</t>
        </is>
      </c>
      <c r="B9" s="21" t="inlineStr">
        <is>
          <t>founded 1938</t>
        </is>
      </c>
      <c r="C9" s="22" t="inlineStr">
        <is>
          <t>Academic Institution</t>
        </is>
      </c>
      <c r="D9" s="22" t="n"/>
      <c r="E9" s="22" t="n"/>
      <c r="F9" s="23" t="inlineStr">
        <is>
          <t>Educational trust founded by K. M. Munshi in 1938 to promote Indian culture and letters; publisher of several works in this archive.</t>
        </is>
      </c>
      <c r="G9" s="22" t="inlineStr">
        <is>
          <t>Yes</t>
        </is>
      </c>
      <c r="H9" s="22" t="n"/>
      <c r="I9" s="22" t="inlineStr"/>
      <c r="J9" s="21" t="inlineStr">
        <is>
          <t>Yes</t>
        </is>
      </c>
      <c r="K9" s="24" t="inlineStr">
        <is>
          <t>bharatiya-vidya-bhavan</t>
        </is>
      </c>
    </row>
    <row r="10">
      <c r="A10" s="20" t="inlineStr">
        <is>
          <t>Bombay Stock Exchange</t>
        </is>
      </c>
      <c r="B10" s="21" t="inlineStr">
        <is>
          <t>founded 1875</t>
        </is>
      </c>
      <c r="C10" s="22" t="inlineStr">
        <is>
          <t>Professional Body</t>
        </is>
      </c>
      <c r="D10" s="22" t="n"/>
      <c r="E10" s="22" t="n"/>
      <c r="F10" s="23" t="inlineStr">
        <is>
          <t>Asia's oldest stock exchange, founded in 1875 — the institutional heart of Indian equity capitalism.</t>
        </is>
      </c>
      <c r="G10" s="22" t="inlineStr">
        <is>
          <t>Yes</t>
        </is>
      </c>
      <c r="H10" s="22" t="n"/>
      <c r="I10" s="22" t="inlineStr"/>
      <c r="J10" s="21" t="inlineStr">
        <is>
          <t>Yes</t>
        </is>
      </c>
      <c r="K10" s="24" t="inlineStr">
        <is>
          <t>bombay-stock-exchange</t>
        </is>
      </c>
    </row>
    <row r="11">
      <c r="A11" s="20" t="inlineStr">
        <is>
          <t>Brahmo Samaj</t>
        </is>
      </c>
      <c r="B11" s="21" t="inlineStr">
        <is>
          <t>founded 1828</t>
        </is>
      </c>
      <c r="C11" s="22" t="inlineStr">
        <is>
          <t>Reform Society</t>
        </is>
      </c>
      <c r="D11" s="22" t="inlineStr">
        <is>
          <t>Constitutionalist</t>
        </is>
      </c>
      <c r="E11" s="22" t="inlineStr">
        <is>
          <t>Reformist</t>
        </is>
      </c>
      <c r="F11" s="23" t="inlineStr">
        <is>
          <t>The reform movement founded by Raja Ram Mohan Roy in 1828, which led the nineteenth-century campaigns against sati and orthodoxy and for widow remarriage and women's education.</t>
        </is>
      </c>
      <c r="G11" s="22" t="inlineStr">
        <is>
          <t>Yes</t>
        </is>
      </c>
      <c r="H11" s="22" t="n"/>
      <c r="I11" s="22" t="inlineStr"/>
      <c r="J11" s="21" t="inlineStr">
        <is>
          <t>No</t>
        </is>
      </c>
      <c r="K11" s="24" t="inlineStr">
        <is>
          <t>brahmo-samaj</t>
        </is>
      </c>
    </row>
    <row r="12">
      <c r="A12" s="20" t="inlineStr">
        <is>
          <t>Centre for Civil Society</t>
        </is>
      </c>
      <c r="B12" s="21" t="inlineStr">
        <is>
          <t>founded 1997</t>
        </is>
      </c>
      <c r="C12" s="22" t="inlineStr">
        <is>
          <t>Think Tank</t>
        </is>
      </c>
      <c r="D12" s="22" t="inlineStr">
        <is>
          <t>Classical Liberal</t>
        </is>
      </c>
      <c r="E12" s="22" t="n"/>
      <c r="F12" s="23" t="inlineStr">
        <is>
          <t>New Delhi think tank founded by Parth J. Shah in 1997, advancing choice and accountability in education, livelihoods, and governance — and the custodian of this archive.</t>
        </is>
      </c>
      <c r="G12" s="22" t="inlineStr">
        <is>
          <t>Yes</t>
        </is>
      </c>
      <c r="H12" s="22" t="n"/>
      <c r="I12" s="22" t="inlineStr"/>
      <c r="J12" s="21" t="inlineStr">
        <is>
          <t>Yes</t>
        </is>
      </c>
      <c r="K12" s="24" t="inlineStr">
        <is>
          <t>centre-for-civil-society</t>
        </is>
      </c>
    </row>
    <row r="13">
      <c r="A13" s="20" t="inlineStr">
        <is>
          <t>Congress Socialist Party</t>
        </is>
      </c>
      <c r="B13" s="21" t="inlineStr">
        <is>
          <t>1934–1948</t>
        </is>
      </c>
      <c r="C13" s="22" t="inlineStr">
        <is>
          <t>Political Party</t>
        </is>
      </c>
      <c r="D13" s="22" t="n"/>
      <c r="E13" s="22" t="n"/>
      <c r="F13" s="23" t="inlineStr">
        <is>
          <t>The socialist caucus within the Indian National Congress (1934–1948); several of its members, Minoo Masani among them, later travelled to market liberalism.</t>
        </is>
      </c>
      <c r="G13" s="22" t="inlineStr">
        <is>
          <t>No</t>
        </is>
      </c>
      <c r="H13" s="22" t="n"/>
      <c r="I13" s="22" t="inlineStr"/>
      <c r="J13" s="21" t="inlineStr">
        <is>
          <t>No</t>
        </is>
      </c>
      <c r="K13" s="24" t="inlineStr">
        <is>
          <t>congress-socialist-party</t>
        </is>
      </c>
    </row>
    <row r="14">
      <c r="A14" s="20" t="inlineStr">
        <is>
          <t>Council for Liberal Democracy</t>
        </is>
      </c>
      <c r="B14" s="21" t="inlineStr">
        <is>
          <t>founded 1981</t>
        </is>
      </c>
      <c r="C14" s="22" t="inlineStr">
        <is>
          <t>Think Tank</t>
        </is>
      </c>
      <c r="D14" s="22" t="inlineStr">
        <is>
          <t>Classical Liberal</t>
        </is>
      </c>
      <c r="E14" s="22" t="n"/>
      <c r="F14" s="23" t="inlineStr">
        <is>
          <t>Forum founded in 1981 around Minoo Masani to keep liberal democratic ideas alive in Indian public debate through the late License Raj years.</t>
        </is>
      </c>
      <c r="G14" s="22" t="inlineStr">
        <is>
          <t>Yes</t>
        </is>
      </c>
      <c r="H14" s="22" t="n"/>
      <c r="I14" s="22" t="inlineStr"/>
      <c r="J14" s="21" t="inlineStr">
        <is>
          <t>No</t>
        </is>
      </c>
      <c r="K14" s="24" t="inlineStr">
        <is>
          <t>council-for-liberal-democracy</t>
        </is>
      </c>
    </row>
    <row r="15">
      <c r="A15" s="20" t="inlineStr">
        <is>
          <t>Council of Asian Liberals and Democrats</t>
        </is>
      </c>
      <c r="B15" s="21" t="inlineStr">
        <is>
          <t>founded 1993</t>
        </is>
      </c>
      <c r="C15" s="22" t="inlineStr">
        <is>
          <t>International Network</t>
        </is>
      </c>
      <c r="D15" s="22" t="inlineStr">
        <is>
          <t>Classical Liberal</t>
        </is>
      </c>
      <c r="E15" s="22" t="n"/>
      <c r="F15" s="23" t="inlineStr">
        <is>
          <t>Network of liberal and democratic political parties across Asia, founded in 1993.</t>
        </is>
      </c>
      <c r="G15" s="22" t="inlineStr">
        <is>
          <t>Yes</t>
        </is>
      </c>
      <c r="H15" s="22" t="n"/>
      <c r="I15" s="22" t="inlineStr"/>
      <c r="J15" s="21" t="inlineStr">
        <is>
          <t>Yes</t>
        </is>
      </c>
      <c r="K15" s="24" t="inlineStr">
        <is>
          <t>council-of-asian-liberals-and-democrats</t>
        </is>
      </c>
    </row>
    <row r="16">
      <c r="A16" s="20" t="inlineStr">
        <is>
          <t>Federation of Indian Chambers of Commerce</t>
        </is>
      </c>
      <c r="B16" s="21" t="inlineStr">
        <is>
          <t>founded 1927</t>
        </is>
      </c>
      <c r="C16" s="22" t="inlineStr">
        <is>
          <t>Professional Body</t>
        </is>
      </c>
      <c r="D16" s="22" t="n"/>
      <c r="E16" s="22" t="n"/>
      <c r="F16" s="23" t="inlineStr">
        <is>
          <t>FICCI — the apex chamber of Indian business, founded in 1927 by G. D. Birla and Purshottamdas Thakurdas.</t>
        </is>
      </c>
      <c r="G16" s="22" t="inlineStr">
        <is>
          <t>Yes</t>
        </is>
      </c>
      <c r="H16" s="22" t="n"/>
      <c r="I16" s="22" t="inlineStr"/>
      <c r="J16" s="21" t="inlineStr">
        <is>
          <t>Yes</t>
        </is>
      </c>
      <c r="K16" s="24" t="inlineStr">
        <is>
          <t>federation-of-indian-chambers-of-commerce</t>
        </is>
      </c>
    </row>
    <row r="17">
      <c r="A17" s="20" t="inlineStr">
        <is>
          <t>Ford Foundation</t>
        </is>
      </c>
      <c r="B17" s="21" t="inlineStr">
        <is>
          <t>founded 1936</t>
        </is>
      </c>
      <c r="C17" s="22" t="inlineStr">
        <is>
          <t>International Network</t>
        </is>
      </c>
      <c r="D17" s="22" t="n"/>
      <c r="E17" s="22" t="n"/>
      <c r="F17" s="23" t="inlineStr">
        <is>
          <t>American philanthropic foundation whose grants shaped Indian planning, agriculture, and social-science research from the 1950s onward.</t>
        </is>
      </c>
      <c r="G17" s="22" t="inlineStr">
        <is>
          <t>Yes</t>
        </is>
      </c>
      <c r="H17" s="22" t="n"/>
      <c r="I17" s="22" t="inlineStr"/>
      <c r="J17" s="21" t="inlineStr">
        <is>
          <t>Yes</t>
        </is>
      </c>
      <c r="K17" s="24" t="inlineStr">
        <is>
          <t>ford-foundation</t>
        </is>
      </c>
    </row>
    <row r="18">
      <c r="A18" s="20" t="inlineStr">
        <is>
          <t>Forum of Free Enterprise</t>
        </is>
      </c>
      <c r="B18" s="21" t="inlineStr">
        <is>
          <t>founded 1956</t>
        </is>
      </c>
      <c r="C18" s="22" t="inlineStr">
        <is>
          <t>Think Tank</t>
        </is>
      </c>
      <c r="D18" s="22" t="inlineStr">
        <is>
          <t>Classical Liberal</t>
        </is>
      </c>
      <c r="E18" s="22" t="inlineStr">
        <is>
          <t>Free Enterprise</t>
        </is>
      </c>
      <c r="F18" s="23" t="inlineStr">
        <is>
          <t>Mumbai educational organisation founded by A. D. Shroff in 1956 to make the public case for free enterprise; its lectures and pamphlets form one of the largest runs in this archive.</t>
        </is>
      </c>
      <c r="G18" s="22" t="inlineStr">
        <is>
          <t>Yes</t>
        </is>
      </c>
      <c r="H18" s="22" t="n"/>
      <c r="I18" s="22" t="inlineStr">
        <is>
          <t>FFE; The Forum</t>
        </is>
      </c>
      <c r="J18" s="21" t="inlineStr">
        <is>
          <t>No</t>
        </is>
      </c>
      <c r="K18" s="24" t="inlineStr">
        <is>
          <t>forum-of-free-enterprise</t>
        </is>
      </c>
    </row>
    <row r="19">
      <c r="A19" s="20" t="inlineStr">
        <is>
          <t>Friedrich Naumann Foundation for Freedom</t>
        </is>
      </c>
      <c r="B19" s="21" t="inlineStr">
        <is>
          <t>founded 1958</t>
        </is>
      </c>
      <c r="C19" s="22" t="inlineStr">
        <is>
          <t>International Network</t>
        </is>
      </c>
      <c r="D19" s="22" t="inlineStr">
        <is>
          <t>Classical Liberal</t>
        </is>
      </c>
      <c r="E19" s="22" t="n"/>
      <c r="F19" s="23" t="inlineStr">
        <is>
          <t>The German liberal political foundation, founded in 1958, a long-standing partner to liberal institutions across South Asia.</t>
        </is>
      </c>
      <c r="G19" s="22" t="inlineStr">
        <is>
          <t>Yes</t>
        </is>
      </c>
      <c r="H19" s="22" t="n"/>
      <c r="I19" s="22" t="inlineStr"/>
      <c r="J19" s="21" t="inlineStr">
        <is>
          <t>Yes</t>
        </is>
      </c>
      <c r="K19" s="24" t="inlineStr">
        <is>
          <t>friedrich-naumann-foundation</t>
        </is>
      </c>
    </row>
    <row r="20">
      <c r="A20" s="20" t="inlineStr">
        <is>
          <t>Hindu College Calcutta</t>
        </is>
      </c>
      <c r="B20" s="21" t="inlineStr">
        <is>
          <t>founded 1817</t>
        </is>
      </c>
      <c r="C20" s="22" t="inlineStr">
        <is>
          <t>Academic Institution</t>
        </is>
      </c>
      <c r="D20" s="22" t="n"/>
      <c r="E20" s="22" t="n"/>
      <c r="F20" s="23" t="inlineStr">
        <is>
          <t>Founded in 1817, the first major modern educational institution in India and a crucible of the Bengal Renaissance.</t>
        </is>
      </c>
      <c r="G20" s="22" t="inlineStr">
        <is>
          <t>Yes</t>
        </is>
      </c>
      <c r="H20" s="22" t="n"/>
      <c r="I20" s="22" t="inlineStr"/>
      <c r="J20" s="21" t="inlineStr">
        <is>
          <t>No</t>
        </is>
      </c>
      <c r="K20" s="24" t="inlineStr">
        <is>
          <t>hindu-college-calcutta</t>
        </is>
      </c>
    </row>
    <row r="21">
      <c r="A21" s="20" t="inlineStr">
        <is>
          <t>Hoover Institution</t>
        </is>
      </c>
      <c r="B21" s="21" t="inlineStr">
        <is>
          <t>founded 1919</t>
        </is>
      </c>
      <c r="C21" s="22" t="inlineStr">
        <is>
          <t>Academic Institution</t>
        </is>
      </c>
      <c r="D21" s="22" t="inlineStr">
        <is>
          <t>Classical Liberal</t>
        </is>
      </c>
      <c r="E21" s="22" t="n"/>
      <c r="F21" s="23" t="inlineStr">
        <is>
          <t>Stanford-based research institution on war, revolution, and peace; an intellectual home to several of the free-market economists in this archive.</t>
        </is>
      </c>
      <c r="G21" s="22" t="inlineStr">
        <is>
          <t>Yes</t>
        </is>
      </c>
      <c r="H21" s="22" t="n"/>
      <c r="I21" s="22" t="inlineStr"/>
      <c r="J21" s="21" t="inlineStr">
        <is>
          <t>Yes</t>
        </is>
      </c>
      <c r="K21" s="24" t="inlineStr">
        <is>
          <t>hoover-institution</t>
        </is>
      </c>
    </row>
    <row r="22">
      <c r="A22" s="20" t="inlineStr">
        <is>
          <t>Indian Liberal Group</t>
        </is>
      </c>
      <c r="B22" s="21" t="inlineStr">
        <is>
          <t>founded 2000</t>
        </is>
      </c>
      <c r="C22" s="22" t="inlineStr">
        <is>
          <t>Think Tank</t>
        </is>
      </c>
      <c r="D22" s="22" t="inlineStr">
        <is>
          <t>Classical Liberal</t>
        </is>
      </c>
      <c r="E22" s="22" t="n"/>
      <c r="F22" s="23" t="inlineStr">
        <is>
          <t>A discussion circle of contemporary Indian liberals continuing the Masani-era liberal conversation.</t>
        </is>
      </c>
      <c r="G22" s="22" t="inlineStr">
        <is>
          <t>Yes</t>
        </is>
      </c>
      <c r="H22" s="22" t="n"/>
      <c r="I22" s="22" t="inlineStr"/>
      <c r="J22" s="21" t="inlineStr">
        <is>
          <t>No</t>
        </is>
      </c>
      <c r="K22" s="24" t="inlineStr">
        <is>
          <t>indian-liberal-group</t>
        </is>
      </c>
    </row>
    <row r="23">
      <c r="A23" s="20" t="inlineStr">
        <is>
          <t>Indian Merchants Chamber</t>
        </is>
      </c>
      <c r="B23" s="21" t="inlineStr">
        <is>
          <t>founded 1907</t>
        </is>
      </c>
      <c r="C23" s="22" t="inlineStr">
        <is>
          <t>Professional Body</t>
        </is>
      </c>
      <c r="D23" s="22" t="n"/>
      <c r="E23" s="22" t="n"/>
      <c r="F23" s="23" t="inlineStr">
        <is>
          <t>Bombay chamber of Indian business founded in 1907 — a platform first for swadeshi enterprise and later for market liberalism.</t>
        </is>
      </c>
      <c r="G23" s="22" t="inlineStr">
        <is>
          <t>Yes</t>
        </is>
      </c>
      <c r="H23" s="22" t="n"/>
      <c r="I23" s="22" t="inlineStr"/>
      <c r="J23" s="21" t="inlineStr">
        <is>
          <t>Yes</t>
        </is>
      </c>
      <c r="K23" s="24" t="inlineStr">
        <is>
          <t>indian-merchants-chamber</t>
        </is>
      </c>
    </row>
    <row r="24">
      <c r="A24" s="20" t="inlineStr">
        <is>
          <t>Indian National Congress</t>
        </is>
      </c>
      <c r="B24" s="21" t="inlineStr">
        <is>
          <t>founded 1885</t>
        </is>
      </c>
      <c r="C24" s="22" t="inlineStr">
        <is>
          <t>Political Party</t>
        </is>
      </c>
      <c r="D24" s="22" t="n"/>
      <c r="E24" s="22" t="n"/>
      <c r="F24" s="23" t="inlineStr">
        <is>
          <t>The party of the freedom movement, founded in 1885. The early moderates who built Indian liberalism worked within it; the post-independence liberals defined themselves against its planned economy.</t>
        </is>
      </c>
      <c r="G24" s="22" t="inlineStr">
        <is>
          <t>No</t>
        </is>
      </c>
      <c r="H24" s="22" t="n"/>
      <c r="I24" s="22" t="inlineStr"/>
      <c r="J24" s="21" t="inlineStr">
        <is>
          <t>No</t>
        </is>
      </c>
      <c r="K24" s="24" t="inlineStr">
        <is>
          <t>indian-national-congress</t>
        </is>
      </c>
    </row>
    <row r="25">
      <c r="A25" s="20" t="inlineStr">
        <is>
          <t>Initiative for Open Society</t>
        </is>
      </c>
      <c r="B25" s="21" t="n"/>
      <c r="C25" s="22" t="inlineStr">
        <is>
          <t>Publisher / Press</t>
        </is>
      </c>
      <c r="D25" s="22" t="inlineStr">
        <is>
          <t>Classical Liberal</t>
        </is>
      </c>
      <c r="E25" s="22" t="n"/>
      <c r="F25" s="23" t="inlineStr">
        <is>
          <t>'Pahel' — the Vadodara initiative that published Khoj, the Gujarati liberal periodical anchored in Popper and Hayek.</t>
        </is>
      </c>
      <c r="G25" s="22" t="inlineStr">
        <is>
          <t>Yes</t>
        </is>
      </c>
      <c r="H25" s="22" t="n"/>
      <c r="I25" s="22" t="inlineStr"/>
      <c r="J25" s="21" t="inlineStr">
        <is>
          <t>No</t>
        </is>
      </c>
      <c r="K25" s="24" t="inlineStr">
        <is>
          <t>initiative-for-open-society</t>
        </is>
      </c>
    </row>
    <row r="26">
      <c r="A26" s="20" t="inlineStr">
        <is>
          <t>Janashakti Books and Publications</t>
        </is>
      </c>
      <c r="B26" s="21" t="n"/>
      <c r="C26" s="22" t="inlineStr">
        <is>
          <t>Publisher / Press</t>
        </is>
      </c>
      <c r="D26" s="22" t="inlineStr">
        <is>
          <t>Classical Liberal</t>
        </is>
      </c>
      <c r="E26" s="22" t="inlineStr">
        <is>
          <t>Agrarian Reform</t>
        </is>
      </c>
      <c r="F26" s="23" t="inlineStr">
        <is>
          <t>Marathi publisher associated with the farmers'-movement literature in this archive.</t>
        </is>
      </c>
      <c r="G26" s="22" t="inlineStr">
        <is>
          <t>Yes</t>
        </is>
      </c>
      <c r="H26" s="22" t="n"/>
      <c r="I26" s="22" t="inlineStr"/>
      <c r="J26" s="21" t="inlineStr">
        <is>
          <t>No</t>
        </is>
      </c>
      <c r="K26" s="24" t="inlineStr">
        <is>
          <t>janashakti-books-and-publications</t>
        </is>
      </c>
    </row>
    <row r="27">
      <c r="A27" s="20" t="inlineStr">
        <is>
          <t>Janashakti Vachak Chalval</t>
        </is>
      </c>
      <c r="B27" s="21" t="n"/>
      <c r="C27" s="22" t="inlineStr">
        <is>
          <t>Reform Society</t>
        </is>
      </c>
      <c r="D27" s="22" t="inlineStr">
        <is>
          <t>Classical Liberal</t>
        </is>
      </c>
      <c r="E27" s="22" t="inlineStr">
        <is>
          <t>Agrarian Reform</t>
        </is>
      </c>
      <c r="F27" s="23" t="inlineStr">
        <is>
          <t>Marathi readers' movement that circulated farmers'-movement and liberal writing across Maharashtra.</t>
        </is>
      </c>
      <c r="G27" s="22" t="inlineStr">
        <is>
          <t>Yes</t>
        </is>
      </c>
      <c r="H27" s="22" t="n"/>
      <c r="I27" s="22" t="inlineStr"/>
      <c r="J27" s="21" t="inlineStr">
        <is>
          <t>No</t>
        </is>
      </c>
      <c r="K27" s="24" t="inlineStr">
        <is>
          <t>janashakti-vachak-chalval</t>
        </is>
      </c>
    </row>
    <row r="28">
      <c r="A28" s="20" t="inlineStr">
        <is>
          <t>John Templeton Foundation</t>
        </is>
      </c>
      <c r="B28" s="21" t="inlineStr">
        <is>
          <t>founded 1987</t>
        </is>
      </c>
      <c r="C28" s="22" t="inlineStr">
        <is>
          <t>International Network</t>
        </is>
      </c>
      <c r="D28" s="22" t="n"/>
      <c r="E28" s="22" t="n"/>
      <c r="F28" s="23" t="inlineStr">
        <is>
          <t>US foundation funding research at the intersection of markets, character, and human flourishing.</t>
        </is>
      </c>
      <c r="G28" s="22" t="inlineStr">
        <is>
          <t>Yes</t>
        </is>
      </c>
      <c r="H28" s="22" t="n"/>
      <c r="I28" s="22" t="inlineStr"/>
      <c r="J28" s="21" t="inlineStr">
        <is>
          <t>Yes</t>
        </is>
      </c>
      <c r="K28" s="24" t="inlineStr">
        <is>
          <t>john-templeton-foundation</t>
        </is>
      </c>
    </row>
    <row r="29">
      <c r="A29" s="20" t="inlineStr">
        <is>
          <t>Kisan Samvay Samiti</t>
        </is>
      </c>
      <c r="B29" s="21" t="n"/>
      <c r="C29" s="22" t="inlineStr">
        <is>
          <t>Reform Society</t>
        </is>
      </c>
      <c r="D29" s="22" t="inlineStr">
        <is>
          <t>Agrarian Reform</t>
        </is>
      </c>
      <c r="E29" s="22" t="n"/>
      <c r="F29" s="23" t="inlineStr">
        <is>
          <t>Farmers' coordination body in the orbit of the Shetkari Sanghatana movement.</t>
        </is>
      </c>
      <c r="G29" s="22" t="inlineStr">
        <is>
          <t>Yes</t>
        </is>
      </c>
      <c r="H29" s="22" t="n"/>
      <c r="I29" s="22" t="inlineStr"/>
      <c r="J29" s="21" t="inlineStr">
        <is>
          <t>No</t>
        </is>
      </c>
      <c r="K29" s="24" t="inlineStr">
        <is>
          <t>kisan-samvay-samiti</t>
        </is>
      </c>
    </row>
    <row r="30">
      <c r="A30" s="20" t="inlineStr">
        <is>
          <t>Leslie Sawhny Centre</t>
        </is>
      </c>
      <c r="B30" s="21" t="n"/>
      <c r="C30" s="22" t="inlineStr">
        <is>
          <t>Academic Institution</t>
        </is>
      </c>
      <c r="D30" s="22" t="inlineStr">
        <is>
          <t>Classical Liberal</t>
        </is>
      </c>
      <c r="E30" s="22" t="n"/>
      <c r="F30" s="23" t="inlineStr">
        <is>
          <t>The Leslie Sawhny Programme of Training for Democracy — a Tata-linked centre for civic and leadership education.</t>
        </is>
      </c>
      <c r="G30" s="22" t="inlineStr">
        <is>
          <t>Yes</t>
        </is>
      </c>
      <c r="H30" s="22" t="n"/>
      <c r="I30" s="22" t="inlineStr"/>
      <c r="J30" s="21" t="inlineStr">
        <is>
          <t>No</t>
        </is>
      </c>
      <c r="K30" s="24" t="inlineStr">
        <is>
          <t>leslie-sawhny-centre</t>
        </is>
      </c>
    </row>
    <row r="31">
      <c r="A31" s="20" t="inlineStr">
        <is>
          <t>Liberal International</t>
        </is>
      </c>
      <c r="B31" s="21" t="inlineStr">
        <is>
          <t>founded 1947</t>
        </is>
      </c>
      <c r="C31" s="22" t="inlineStr">
        <is>
          <t>International Network</t>
        </is>
      </c>
      <c r="D31" s="22" t="inlineStr">
        <is>
          <t>Classical Liberal</t>
        </is>
      </c>
      <c r="E31" s="22" t="n"/>
      <c r="F31" s="23" t="inlineStr">
        <is>
          <t>The world federation of liberal political parties, founded in 1947.</t>
        </is>
      </c>
      <c r="G31" s="22" t="inlineStr">
        <is>
          <t>Yes</t>
        </is>
      </c>
      <c r="H31" s="22" t="n"/>
      <c r="I31" s="22" t="inlineStr"/>
      <c r="J31" s="21" t="inlineStr">
        <is>
          <t>Yes</t>
        </is>
      </c>
      <c r="K31" s="24" t="inlineStr">
        <is>
          <t>liberal-international</t>
        </is>
      </c>
    </row>
    <row r="32">
      <c r="A32" s="20" t="inlineStr">
        <is>
          <t>Liberal Party of Sri Lanka</t>
        </is>
      </c>
      <c r="B32" s="21" t="inlineStr">
        <is>
          <t>founded 1987</t>
        </is>
      </c>
      <c r="C32" s="22" t="inlineStr">
        <is>
          <t>Political Party</t>
        </is>
      </c>
      <c r="D32" s="22" t="inlineStr">
        <is>
          <t>Classical Liberal</t>
        </is>
      </c>
      <c r="E32" s="22" t="n"/>
      <c r="F32" s="23" t="inlineStr">
        <is>
          <t>Sri Lanka's liberal party, founded in 1987 by Chanaka Amaratunga.</t>
        </is>
      </c>
      <c r="G32" s="22" t="inlineStr">
        <is>
          <t>No</t>
        </is>
      </c>
      <c r="H32" s="22" t="n"/>
      <c r="I32" s="22" t="inlineStr"/>
      <c r="J32" s="21" t="inlineStr">
        <is>
          <t>No</t>
        </is>
      </c>
      <c r="K32" s="24" t="inlineStr">
        <is>
          <t>liberal-party-of-sri-lanka</t>
        </is>
      </c>
    </row>
    <row r="33">
      <c r="A33" s="20" t="inlineStr">
        <is>
          <t>Libertarian Publishers</t>
        </is>
      </c>
      <c r="B33" s="21" t="n"/>
      <c r="C33" s="22" t="inlineStr">
        <is>
          <t>Publisher / Press</t>
        </is>
      </c>
      <c r="D33" s="22" t="inlineStr">
        <is>
          <t>Classical Liberal</t>
        </is>
      </c>
      <c r="E33" s="22" t="inlineStr">
        <is>
          <t>Libertarian</t>
        </is>
      </c>
      <c r="F33" s="23" t="inlineStr">
        <is>
          <t>Bombay imprint of R. B. Lotvala's libertarian circle, publisher of The Indian Libertarian.</t>
        </is>
      </c>
      <c r="G33" s="22" t="inlineStr">
        <is>
          <t>Yes</t>
        </is>
      </c>
      <c r="H33" s="22" t="n"/>
      <c r="I33" s="22" t="inlineStr"/>
      <c r="J33" s="21" t="inlineStr">
        <is>
          <t>No</t>
        </is>
      </c>
      <c r="K33" s="24" t="inlineStr">
        <is>
          <t>libertarian-publishers</t>
        </is>
      </c>
    </row>
    <row r="34">
      <c r="A34" s="20" t="inlineStr">
        <is>
          <t>Libertarian Social Institute</t>
        </is>
      </c>
      <c r="B34" s="21" t="n"/>
      <c r="C34" s="22" t="inlineStr">
        <is>
          <t>Academic Institution</t>
        </is>
      </c>
      <c r="D34" s="22" t="inlineStr">
        <is>
          <t>Classical Liberal</t>
        </is>
      </c>
      <c r="E34" s="22" t="inlineStr">
        <is>
          <t>Libertarian</t>
        </is>
      </c>
      <c r="F34" s="23" t="inlineStr">
        <is>
          <t>The Bombay institute endowed by R. B. Lotvala to spread libertarian and rationalist ideas; home of The Indian Libertarian.</t>
        </is>
      </c>
      <c r="G34" s="22" t="inlineStr">
        <is>
          <t>Yes</t>
        </is>
      </c>
      <c r="H34" s="22" t="n"/>
      <c r="I34" s="22" t="inlineStr"/>
      <c r="J34" s="21" t="inlineStr">
        <is>
          <t>No</t>
        </is>
      </c>
      <c r="K34" s="24" t="inlineStr">
        <is>
          <t>libertarian-social-institute</t>
        </is>
      </c>
    </row>
    <row r="35">
      <c r="A35" s="20" t="inlineStr">
        <is>
          <t>Liberty Institute</t>
        </is>
      </c>
      <c r="B35" s="21" t="inlineStr">
        <is>
          <t>founded 1996</t>
        </is>
      </c>
      <c r="C35" s="22" t="inlineStr">
        <is>
          <t>Think Tank</t>
        </is>
      </c>
      <c r="D35" s="22" t="inlineStr">
        <is>
          <t>Classical Liberal</t>
        </is>
      </c>
      <c r="E35" s="22" t="n"/>
      <c r="F35" s="23" t="inlineStr">
        <is>
          <t>New Delhi free-market think tank founded in 1996 by Barun Mitra.</t>
        </is>
      </c>
      <c r="G35" s="22" t="inlineStr">
        <is>
          <t>Yes</t>
        </is>
      </c>
      <c r="H35" s="22" t="n"/>
      <c r="I35" s="22" t="inlineStr"/>
      <c r="J35" s="21" t="inlineStr">
        <is>
          <t>No</t>
        </is>
      </c>
      <c r="K35" s="24" t="inlineStr">
        <is>
          <t>liberty-institute</t>
        </is>
      </c>
    </row>
    <row r="36">
      <c r="A36" s="20" t="inlineStr">
        <is>
          <t>Maharashtra Economic Development Council</t>
        </is>
      </c>
      <c r="B36" s="21" t="n"/>
      <c r="C36" s="22" t="inlineStr">
        <is>
          <t>Think Tank</t>
        </is>
      </c>
      <c r="D36" s="22" t="n"/>
      <c r="E36" s="22" t="n"/>
      <c r="F36" s="23" t="inlineStr">
        <is>
          <t>Mumbai council promoting Maharashtra's economic development through research and business dialogue.</t>
        </is>
      </c>
      <c r="G36" s="22" t="inlineStr">
        <is>
          <t>Yes</t>
        </is>
      </c>
      <c r="H36" s="22" t="n"/>
      <c r="I36" s="22" t="inlineStr"/>
      <c r="J36" s="21" t="inlineStr">
        <is>
          <t>No</t>
        </is>
      </c>
      <c r="K36" s="24" t="inlineStr">
        <is>
          <t>maharashtra-economic-development-council</t>
        </is>
      </c>
    </row>
    <row r="37">
      <c r="A37" s="20" t="inlineStr">
        <is>
          <t>Manaktalas</t>
        </is>
      </c>
      <c r="B37" s="21" t="n"/>
      <c r="C37" s="22" t="inlineStr">
        <is>
          <t>Publisher / Press</t>
        </is>
      </c>
      <c r="D37" s="22" t="n"/>
      <c r="E37" s="22" t="n"/>
      <c r="F37" s="23" t="inlineStr">
        <is>
          <t>Bombay publishing house of the 1960s that issued several liberal titles in this archive.</t>
        </is>
      </c>
      <c r="G37" s="22" t="inlineStr">
        <is>
          <t>Yes</t>
        </is>
      </c>
      <c r="H37" s="22" t="n"/>
      <c r="I37" s="22" t="inlineStr"/>
      <c r="J37" s="21" t="inlineStr">
        <is>
          <t>No</t>
        </is>
      </c>
      <c r="K37" s="24" t="inlineStr">
        <is>
          <t>manaktalas</t>
        </is>
      </c>
    </row>
    <row r="38">
      <c r="A38" s="20" t="inlineStr">
        <is>
          <t>Mont Pelerin Society</t>
        </is>
      </c>
      <c r="B38" s="21" t="inlineStr">
        <is>
          <t>founded 1947</t>
        </is>
      </c>
      <c r="C38" s="22" t="inlineStr">
        <is>
          <t>International Network</t>
        </is>
      </c>
      <c r="D38" s="22" t="inlineStr">
        <is>
          <t>Classical Liberal</t>
        </is>
      </c>
      <c r="E38" s="22" t="n"/>
      <c r="F38" s="23" t="inlineStr">
        <is>
          <t>The international society of classical-liberal scholars convened by Hayek at Mont Pèlerin in 1947; B. R. Shenoy was its first Indian member.</t>
        </is>
      </c>
      <c r="G38" s="22" t="inlineStr">
        <is>
          <t>Yes</t>
        </is>
      </c>
      <c r="H38" s="22" t="n"/>
      <c r="I38" s="22" t="inlineStr"/>
      <c r="J38" s="21" t="inlineStr">
        <is>
          <t>Yes</t>
        </is>
      </c>
      <c r="K38" s="24" t="inlineStr">
        <is>
          <t>mont-pelerin-society</t>
        </is>
      </c>
    </row>
    <row r="39">
      <c r="A39" s="20" t="inlineStr">
        <is>
          <t>NCAER</t>
        </is>
      </c>
      <c r="B39" s="21" t="inlineStr">
        <is>
          <t>founded 1956</t>
        </is>
      </c>
      <c r="C39" s="22" t="inlineStr">
        <is>
          <t>Academic Institution</t>
        </is>
      </c>
      <c r="D39" s="22" t="n"/>
      <c r="E39" s="22" t="n"/>
      <c r="F39" s="23" t="inlineStr">
        <is>
          <t>The National Council of Applied Economic Research, New Delhi — India's oldest independent economic policy research institute, founded in 1956.</t>
        </is>
      </c>
      <c r="G39" s="22" t="inlineStr">
        <is>
          <t>Yes</t>
        </is>
      </c>
      <c r="H39" s="22" t="n"/>
      <c r="I39" s="22" t="inlineStr"/>
      <c r="J39" s="21" t="inlineStr">
        <is>
          <t>Yes</t>
        </is>
      </c>
      <c r="K39" s="24" t="inlineStr">
        <is>
          <t>ncaer</t>
        </is>
      </c>
    </row>
    <row r="40">
      <c r="A40" s="20" t="inlineStr">
        <is>
          <t>Observer Research Foundation</t>
        </is>
      </c>
      <c r="B40" s="21" t="inlineStr">
        <is>
          <t>founded 1990</t>
        </is>
      </c>
      <c r="C40" s="22" t="inlineStr">
        <is>
          <t>Think Tank</t>
        </is>
      </c>
      <c r="D40" s="22" t="n"/>
      <c r="E40" s="22" t="n"/>
      <c r="F40" s="23" t="inlineStr">
        <is>
          <t>New Delhi policy think tank founded in 1990.</t>
        </is>
      </c>
      <c r="G40" s="22" t="inlineStr">
        <is>
          <t>Yes</t>
        </is>
      </c>
      <c r="H40" s="22" t="n"/>
      <c r="I40" s="22" t="inlineStr"/>
      <c r="J40" s="21" t="inlineStr">
        <is>
          <t>Yes</t>
        </is>
      </c>
      <c r="K40" s="24" t="inlineStr">
        <is>
          <t>observer-research-foundation</t>
        </is>
      </c>
    </row>
    <row r="41">
      <c r="A41" s="20" t="inlineStr">
        <is>
          <t>Planning Commission INDIA</t>
        </is>
      </c>
      <c r="B41" s="21" t="inlineStr">
        <is>
          <t>1950–2014</t>
        </is>
      </c>
      <c r="C41" s="22" t="inlineStr">
        <is>
          <t>Academic Institution</t>
        </is>
      </c>
      <c r="D41" s="22" t="n"/>
      <c r="E41" s="22" t="n"/>
      <c r="F41" s="23" t="inlineStr">
        <is>
          <t>The apex planning body of the Indian state (1950–2014) — the institutional embodiment of the planned economy that the liberals in this archive contested.</t>
        </is>
      </c>
      <c r="G41" s="22" t="inlineStr">
        <is>
          <t>Yes</t>
        </is>
      </c>
      <c r="H41" s="22" t="n"/>
      <c r="I41" s="22" t="inlineStr"/>
      <c r="J41" s="21" t="inlineStr">
        <is>
          <t>No</t>
        </is>
      </c>
      <c r="K41" s="24" t="inlineStr">
        <is>
          <t>planning-commission-india</t>
        </is>
      </c>
    </row>
    <row r="42">
      <c r="A42" s="20" t="inlineStr">
        <is>
          <t>Press Institute of INDIA</t>
        </is>
      </c>
      <c r="B42" s="21" t="inlineStr">
        <is>
          <t>founded 1963</t>
        </is>
      </c>
      <c r="C42" s="22" t="inlineStr">
        <is>
          <t>Professional Body</t>
        </is>
      </c>
      <c r="D42" s="22" t="n"/>
      <c r="E42" s="22" t="n"/>
      <c r="F42" s="23" t="inlineStr">
        <is>
          <t>Training and research institute for Indian journalism, founded in 1963.</t>
        </is>
      </c>
      <c r="G42" s="22" t="inlineStr">
        <is>
          <t>Yes</t>
        </is>
      </c>
      <c r="H42" s="22" t="n"/>
      <c r="I42" s="22" t="inlineStr"/>
      <c r="J42" s="21" t="inlineStr">
        <is>
          <t>No</t>
        </is>
      </c>
      <c r="K42" s="24" t="inlineStr">
        <is>
          <t>press-institute-of-india</t>
        </is>
      </c>
    </row>
    <row r="43">
      <c r="A43" s="20" t="inlineStr">
        <is>
          <t>Project for Economic Education</t>
        </is>
      </c>
      <c r="B43" s="21" t="inlineStr">
        <is>
          <t>founded 1997</t>
        </is>
      </c>
      <c r="C43" s="22" t="inlineStr">
        <is>
          <t>Think Tank</t>
        </is>
      </c>
      <c r="D43" s="22" t="inlineStr">
        <is>
          <t>Classical Liberal</t>
        </is>
      </c>
      <c r="E43" s="22" t="n"/>
      <c r="F43" s="23" t="inlineStr">
        <is>
          <t>Mumbai initiative producing accessible economic-education publications that made the case for market reform.</t>
        </is>
      </c>
      <c r="G43" s="22" t="inlineStr">
        <is>
          <t>Yes</t>
        </is>
      </c>
      <c r="H43" s="22" t="n"/>
      <c r="I43" s="22" t="inlineStr"/>
      <c r="J43" s="21" t="inlineStr">
        <is>
          <t>No</t>
        </is>
      </c>
      <c r="K43" s="24" t="inlineStr">
        <is>
          <t>project-for-economic-education</t>
        </is>
      </c>
    </row>
    <row r="44">
      <c r="A44" s="20" t="inlineStr">
        <is>
          <t>PUCL Gujarat</t>
        </is>
      </c>
      <c r="B44" s="21" t="n"/>
      <c r="C44" s="22" t="inlineStr">
        <is>
          <t>Reform Society</t>
        </is>
      </c>
      <c r="D44" s="22" t="inlineStr">
        <is>
          <t>Civil Libertarian</t>
        </is>
      </c>
      <c r="E44" s="22" t="n"/>
      <c r="F44" s="23" t="inlineStr">
        <is>
          <t>The Gujarat unit of the People's Union for Civil Liberties, documenting and defending civil rights.</t>
        </is>
      </c>
      <c r="G44" s="22" t="inlineStr">
        <is>
          <t>Yes</t>
        </is>
      </c>
      <c r="H44" s="22" t="n"/>
      <c r="I44" s="22" t="inlineStr"/>
      <c r="J44" s="21" t="inlineStr">
        <is>
          <t>No</t>
        </is>
      </c>
      <c r="K44" s="24" t="inlineStr">
        <is>
          <t>pucl-gujarat</t>
        </is>
      </c>
    </row>
    <row r="45">
      <c r="A45" s="20" t="inlineStr">
        <is>
          <t>R L Foundation</t>
        </is>
      </c>
      <c r="B45" s="21" t="n"/>
      <c r="C45" s="22" t="inlineStr">
        <is>
          <t>Publisher / Press</t>
        </is>
      </c>
      <c r="D45" s="22" t="inlineStr">
        <is>
          <t>Classical Liberal</t>
        </is>
      </c>
      <c r="E45" s="22" t="inlineStr">
        <is>
          <t>Libertarian</t>
        </is>
      </c>
      <c r="F45" s="23" t="inlineStr">
        <is>
          <t>Publisher of liberal titles in this archive; full profile pending editorial review.</t>
        </is>
      </c>
      <c r="G45" s="22" t="inlineStr">
        <is>
          <t>Yes</t>
        </is>
      </c>
      <c r="H45" s="22" t="n"/>
      <c r="I45" s="22" t="inlineStr"/>
      <c r="J45" s="21" t="inlineStr">
        <is>
          <t>No</t>
        </is>
      </c>
      <c r="K45" s="24" t="inlineStr">
        <is>
          <t>r-l-foundation</t>
        </is>
      </c>
    </row>
    <row r="46">
      <c r="A46" s="20" t="inlineStr">
        <is>
          <t>Satyashodhak Samaj</t>
        </is>
      </c>
      <c r="B46" s="21" t="inlineStr">
        <is>
          <t>1873–1930</t>
        </is>
      </c>
      <c r="C46" s="22" t="inlineStr">
        <is>
          <t>Reform Society</t>
        </is>
      </c>
      <c r="D46" s="22" t="inlineStr">
        <is>
          <t>Reformist</t>
        </is>
      </c>
      <c r="E46" s="22" t="inlineStr">
        <is>
          <t>Agrarian Reform</t>
        </is>
      </c>
      <c r="F46" s="23" t="inlineStr">
        <is>
          <t>Jyotirao Phule's Truth-Seekers' Society (1873–1930s), the anti-caste reform movement of nineteenth-century Maharashtra.</t>
        </is>
      </c>
      <c r="G46" s="22" t="inlineStr">
        <is>
          <t>Yes</t>
        </is>
      </c>
      <c r="H46" s="22" t="n"/>
      <c r="I46" s="22" t="inlineStr"/>
      <c r="J46" s="21" t="inlineStr">
        <is>
          <t>No</t>
        </is>
      </c>
      <c r="K46" s="24" t="inlineStr">
        <is>
          <t>satyashodhak-samaj</t>
        </is>
      </c>
    </row>
    <row r="47">
      <c r="A47" s="20" t="inlineStr">
        <is>
          <t>Shetkari Mahila Aghadi</t>
        </is>
      </c>
      <c r="B47" s="21" t="n"/>
      <c r="C47" s="22" t="inlineStr">
        <is>
          <t>Reform Society</t>
        </is>
      </c>
      <c r="D47" s="22" t="inlineStr">
        <is>
          <t>Agrarian Reform</t>
        </is>
      </c>
      <c r="E47" s="22" t="inlineStr">
        <is>
          <t>Classical Liberal</t>
        </is>
      </c>
      <c r="F47" s="23" t="inlineStr">
        <is>
          <t>The women's front of the Shetkari Sanghatana, which carried the farmers' movement's case for women's property and economic rights.</t>
        </is>
      </c>
      <c r="G47" s="22" t="inlineStr">
        <is>
          <t>Yes</t>
        </is>
      </c>
      <c r="H47" s="22" t="n"/>
      <c r="I47" s="22" t="inlineStr"/>
      <c r="J47" s="21" t="inlineStr">
        <is>
          <t>No</t>
        </is>
      </c>
      <c r="K47" s="24" t="inlineStr">
        <is>
          <t>shetkari-mahila-aghadi</t>
        </is>
      </c>
    </row>
    <row r="48">
      <c r="A48" s="20" t="inlineStr">
        <is>
          <t>Shetkari Prakashan</t>
        </is>
      </c>
      <c r="B48" s="21" t="n"/>
      <c r="C48" s="22" t="inlineStr">
        <is>
          <t>Publisher / Press</t>
        </is>
      </c>
      <c r="D48" s="22" t="inlineStr">
        <is>
          <t>Classical Liberal</t>
        </is>
      </c>
      <c r="E48" s="22" t="inlineStr">
        <is>
          <t>Agrarian Reform</t>
        </is>
      </c>
      <c r="F48" s="23" t="inlineStr">
        <is>
          <t>The publishing arm of the Shetkari Sanghatana farmers' movement, issuing Sharad Joshi's Marathi works.</t>
        </is>
      </c>
      <c r="G48" s="22" t="inlineStr">
        <is>
          <t>Yes</t>
        </is>
      </c>
      <c r="H48" s="22" t="n"/>
      <c r="I48" s="22" t="inlineStr"/>
      <c r="J48" s="21" t="inlineStr">
        <is>
          <t>No</t>
        </is>
      </c>
      <c r="K48" s="24" t="inlineStr">
        <is>
          <t>shetkari-prakashan</t>
        </is>
      </c>
    </row>
    <row r="49">
      <c r="A49" s="20" t="inlineStr">
        <is>
          <t>Shetkari Sanghatana</t>
        </is>
      </c>
      <c r="B49" s="21" t="inlineStr">
        <is>
          <t>founded 1979</t>
        </is>
      </c>
      <c r="C49" s="22" t="inlineStr">
        <is>
          <t>Reform Society</t>
        </is>
      </c>
      <c r="D49" s="22" t="inlineStr">
        <is>
          <t>Classical Liberal</t>
        </is>
      </c>
      <c r="E49" s="22" t="inlineStr">
        <is>
          <t>Agrarian Reform</t>
        </is>
      </c>
      <c r="F49" s="23" t="inlineStr">
        <is>
          <t>Sharad Joshi's farmers' organisation, founded in 1979, which argued that market freedom — not subsidy or state paternalism — was the farmer's cause.</t>
        </is>
      </c>
      <c r="G49" s="22" t="inlineStr">
        <is>
          <t>Yes</t>
        </is>
      </c>
      <c r="H49" s="22" t="n"/>
      <c r="I49" s="22" t="inlineStr"/>
      <c r="J49" s="21" t="inlineStr">
        <is>
          <t>No</t>
        </is>
      </c>
      <c r="K49" s="24" t="inlineStr">
        <is>
          <t>shetkari-sanghatana</t>
        </is>
      </c>
    </row>
    <row r="50">
      <c r="A50" s="20" t="inlineStr">
        <is>
          <t>Swatantra Party</t>
        </is>
      </c>
      <c r="B50" s="21" t="inlineStr">
        <is>
          <t>1959–1974</t>
        </is>
      </c>
      <c r="C50" s="22" t="inlineStr">
        <is>
          <t>Political Party</t>
        </is>
      </c>
      <c r="D50" s="22" t="inlineStr">
        <is>
          <t>Classical Liberal</t>
        </is>
      </c>
      <c r="E50" s="22" t="inlineStr">
        <is>
          <t>Free Enterprise</t>
        </is>
      </c>
      <c r="F50" s="23" t="inlineStr">
        <is>
          <t>The classical-liberal opposition party founded in 1959 by Rajagopalachari, Masani, and Ranga against the 'licence-permit-quota raj'; dissolved in 1974.</t>
        </is>
      </c>
      <c r="G50" s="22" t="inlineStr">
        <is>
          <t>Yes</t>
        </is>
      </c>
      <c r="H50" s="22" t="n"/>
      <c r="I50" s="22" t="inlineStr">
        <is>
          <t>The Swatantra Party; Swatantra</t>
        </is>
      </c>
      <c r="J50" s="21" t="inlineStr">
        <is>
          <t>Yes</t>
        </is>
      </c>
      <c r="K50" s="24" t="inlineStr">
        <is>
          <t>swatantra-party</t>
        </is>
      </c>
    </row>
    <row r="51">
      <c r="A51" s="20" t="inlineStr">
        <is>
          <t>Tata Sons</t>
        </is>
      </c>
      <c r="B51" s="21" t="inlineStr">
        <is>
          <t>founded 1917</t>
        </is>
      </c>
      <c r="C51" s="22" t="inlineStr">
        <is>
          <t>Publisher / Press</t>
        </is>
      </c>
      <c r="D51" s="22" t="n"/>
      <c r="E51" s="22" t="n"/>
      <c r="F51" s="23" t="inlineStr">
        <is>
          <t>The holding company of the Tata group, whose house journals and patronage long supported liberal economic writing.</t>
        </is>
      </c>
      <c r="G51" s="22" t="inlineStr">
        <is>
          <t>Yes</t>
        </is>
      </c>
      <c r="H51" s="22" t="n"/>
      <c r="I51" s="22" t="inlineStr"/>
      <c r="J51" s="21" t="inlineStr">
        <is>
          <t>Yes</t>
        </is>
      </c>
      <c r="K51" s="24" t="inlineStr">
        <is>
          <t>tata-sons</t>
        </is>
      </c>
    </row>
    <row r="52">
      <c r="A52" s="20" t="inlineStr">
        <is>
          <t>The Radical Humanist</t>
        </is>
      </c>
      <c r="B52" s="21" t="n"/>
      <c r="C52" s="22" t="inlineStr">
        <is>
          <t>Publisher / Press</t>
        </is>
      </c>
      <c r="D52" s="22" t="inlineStr">
        <is>
          <t>Humanist</t>
        </is>
      </c>
      <c r="E52" s="22" t="inlineStr">
        <is>
          <t>Classical Liberal</t>
        </is>
      </c>
      <c r="F52" s="23" t="inlineStr">
        <is>
          <t>M. N. Roy's journal of radical humanism, published since 1937.</t>
        </is>
      </c>
      <c r="G52" s="22" t="inlineStr">
        <is>
          <t>Yes</t>
        </is>
      </c>
      <c r="H52" s="22" t="n"/>
      <c r="I52" s="22" t="inlineStr"/>
      <c r="J52" s="21" t="inlineStr">
        <is>
          <t>No</t>
        </is>
      </c>
      <c r="K52" s="24" t="inlineStr">
        <is>
          <t>the-radical-humanist</t>
        </is>
      </c>
    </row>
    <row r="53">
      <c r="A53" s="20" t="inlineStr">
        <is>
          <t>Upasi</t>
        </is>
      </c>
      <c r="B53" s="21" t="inlineStr">
        <is>
          <t>founded 1893</t>
        </is>
      </c>
      <c r="C53" s="22" t="inlineStr">
        <is>
          <t>Professional Body</t>
        </is>
      </c>
      <c r="D53" s="22" t="n"/>
      <c r="E53" s="22" t="n"/>
      <c r="F53" s="23" t="inlineStr">
        <is>
          <t>The United Planters' Association of Southern India, founded in 1893 — the apex body of the South Indian plantation industry.</t>
        </is>
      </c>
      <c r="G53" s="22" t="inlineStr">
        <is>
          <t>Yes</t>
        </is>
      </c>
      <c r="H53" s="22" t="n"/>
      <c r="I53" s="22" t="inlineStr"/>
      <c r="J53" s="21" t="inlineStr">
        <is>
          <t>No</t>
        </is>
      </c>
      <c r="K53" s="24" t="inlineStr">
        <is>
          <t>upasi</t>
        </is>
      </c>
    </row>
  </sheetData>
  <dataValidations count="3">
    <dataValidation sqref="C2:C753" showDropDown="0" showInputMessage="0" showErrorMessage="0" allowBlank="1" type="list">
      <formula1>TypeLabels</formula1>
    </dataValidation>
    <dataValidation sqref="D2:E753" showDropDown="0" showInputMessage="0" showErrorMessage="0" allowBlank="1" type="list">
      <formula1>StreamLabels</formula1>
    </dataValidation>
    <dataValidation sqref="G2:G75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2026-07-24T14:01:31Z</dcterms:created>
  <dcterms:modified xmlns:dcterms="http://purl.org/dc/terms/" xmlns:xsi="http://www.w3.org/2001/XMLSchema-instance" xsi:type="dcterms:W3CDTF">2026-07-24T14:01:31Z</dcterms:modified>
</cp:coreProperties>
</file>